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FCA1591F-012B-4909-9723-0C23EA4197EF}" xr6:coauthVersionLast="47" xr6:coauthVersionMax="47" xr10:uidLastSave="{00000000-0000-0000-0000-000000000000}"/>
  <bookViews>
    <workbookView xWindow="-110" yWindow="-110" windowWidth="19420" windowHeight="10300" xr2:uid="{F6F80498-B21A-4615-B508-5F4BB31B7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C5" i="1"/>
  <c r="C3" i="1"/>
  <c r="C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2" i="1"/>
  <c r="A2" i="1" a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<sst xmlns="http://schemas.openxmlformats.org/spreadsheetml/2006/main" count="5" uniqueCount="5">
  <si>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Sample Number</t>
  </si>
  <si>
    <t>Number of
Nonconformities</t>
  </si>
  <si>
    <t>Cbar</t>
  </si>
  <si>
    <t>UCL</t>
  </si>
  <si>
    <t>LCL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</si>
</sst>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168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baseline="0"/>
              <a:t>c-Chart of Number of Nonconformities</a:t>
            </a:r>
            <a:endParaRPr lang="en-ID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
Nonconformities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Sheet1!$A$2:$A$47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cat>
          <c:val>
            <c:numRef>
              <c:f>Sheet1!$B$2:$B$47</c:f>
              <c:numCache>
                <c:formatCode>General</c:formatCode>
                <c:ptCount val="46"/>
                <c:pt idx="0">
                  <c:v>21</c:v>
                </c:pt>
                <c:pt idx="1">
                  <c:v>24</c:v>
                </c:pt>
                <c:pt idx="2">
                  <c:v>16</c:v>
                </c:pt>
                <c:pt idx="3">
                  <c:v>12</c:v>
                </c:pt>
                <c:pt idx="4">
                  <c:v>15</c:v>
                </c:pt>
                <c:pt idx="5">
                  <c:v>5</c:v>
                </c:pt>
                <c:pt idx="6">
                  <c:v>28</c:v>
                </c:pt>
                <c:pt idx="7">
                  <c:v>20</c:v>
                </c:pt>
                <c:pt idx="8">
                  <c:v>31</c:v>
                </c:pt>
                <c:pt idx="9">
                  <c:v>25</c:v>
                </c:pt>
                <c:pt idx="10">
                  <c:v>20</c:v>
                </c:pt>
                <c:pt idx="11">
                  <c:v>24</c:v>
                </c:pt>
                <c:pt idx="12">
                  <c:v>16</c:v>
                </c:pt>
                <c:pt idx="13">
                  <c:v>19</c:v>
                </c:pt>
                <c:pt idx="14">
                  <c:v>10</c:v>
                </c:pt>
                <c:pt idx="15">
                  <c:v>17</c:v>
                </c:pt>
                <c:pt idx="16">
                  <c:v>13</c:v>
                </c:pt>
                <c:pt idx="17">
                  <c:v>22</c:v>
                </c:pt>
                <c:pt idx="18">
                  <c:v>18</c:v>
                </c:pt>
                <c:pt idx="19">
                  <c:v>39</c:v>
                </c:pt>
                <c:pt idx="20">
                  <c:v>30</c:v>
                </c:pt>
                <c:pt idx="21">
                  <c:v>24</c:v>
                </c:pt>
                <c:pt idx="22">
                  <c:v>16</c:v>
                </c:pt>
                <c:pt idx="23">
                  <c:v>19</c:v>
                </c:pt>
                <c:pt idx="24">
                  <c:v>17</c:v>
                </c:pt>
                <c:pt idx="25">
                  <c:v>15</c:v>
                </c:pt>
                <c:pt idx="26">
                  <c:v>16</c:v>
                </c:pt>
                <c:pt idx="27">
                  <c:v>18</c:v>
                </c:pt>
                <c:pt idx="28">
                  <c:v>12</c:v>
                </c:pt>
                <c:pt idx="29">
                  <c:v>15</c:v>
                </c:pt>
                <c:pt idx="30">
                  <c:v>24</c:v>
                </c:pt>
                <c:pt idx="31">
                  <c:v>21</c:v>
                </c:pt>
                <c:pt idx="32">
                  <c:v>28</c:v>
                </c:pt>
                <c:pt idx="33">
                  <c:v>20</c:v>
                </c:pt>
                <c:pt idx="34">
                  <c:v>25</c:v>
                </c:pt>
                <c:pt idx="35">
                  <c:v>19</c:v>
                </c:pt>
                <c:pt idx="36">
                  <c:v>18</c:v>
                </c:pt>
                <c:pt idx="37">
                  <c:v>21</c:v>
                </c:pt>
                <c:pt idx="38">
                  <c:v>16</c:v>
                </c:pt>
                <c:pt idx="39">
                  <c:v>22</c:v>
                </c:pt>
                <c:pt idx="40">
                  <c:v>19</c:v>
                </c:pt>
                <c:pt idx="41">
                  <c:v>12</c:v>
                </c:pt>
                <c:pt idx="42">
                  <c:v>14</c:v>
                </c:pt>
                <c:pt idx="43">
                  <c:v>9</c:v>
                </c:pt>
                <c:pt idx="44">
                  <c:v>16</c:v>
                </c:pt>
                <c:pt idx="4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1F-433E-9DF6-283B0670D2A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Sheet1!$A$2:$A$47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cat>
          <c:val>
            <c:numRef>
              <c:f>Sheet1!$C$2:$C$47</c:f>
              <c:numCache>
                <c:formatCode>0.000</c:formatCode>
                <c:ptCount val="46"/>
                <c:pt idx="0">
                  <c:v>19.173913043478262</c:v>
                </c:pt>
                <c:pt idx="1">
                  <c:v>19.173913043478262</c:v>
                </c:pt>
                <c:pt idx="2">
                  <c:v>19.173913043478262</c:v>
                </c:pt>
                <c:pt idx="3">
                  <c:v>19.173913043478262</c:v>
                </c:pt>
                <c:pt idx="4">
                  <c:v>19.173913043478262</c:v>
                </c:pt>
                <c:pt idx="5">
                  <c:v>19.173913043478262</c:v>
                </c:pt>
                <c:pt idx="6">
                  <c:v>19.173913043478262</c:v>
                </c:pt>
                <c:pt idx="7">
                  <c:v>19.173913043478262</c:v>
                </c:pt>
                <c:pt idx="8">
                  <c:v>19.173913043478262</c:v>
                </c:pt>
                <c:pt idx="9">
                  <c:v>19.173913043478262</c:v>
                </c:pt>
                <c:pt idx="10">
                  <c:v>19.173913043478262</c:v>
                </c:pt>
                <c:pt idx="11">
                  <c:v>19.173913043478262</c:v>
                </c:pt>
                <c:pt idx="12">
                  <c:v>19.173913043478262</c:v>
                </c:pt>
                <c:pt idx="13">
                  <c:v>19.173913043478262</c:v>
                </c:pt>
                <c:pt idx="14">
                  <c:v>19.173913043478262</c:v>
                </c:pt>
                <c:pt idx="15">
                  <c:v>19.173913043478262</c:v>
                </c:pt>
                <c:pt idx="16">
                  <c:v>19.173913043478262</c:v>
                </c:pt>
                <c:pt idx="17">
                  <c:v>19.173913043478262</c:v>
                </c:pt>
                <c:pt idx="18">
                  <c:v>19.173913043478262</c:v>
                </c:pt>
                <c:pt idx="19">
                  <c:v>19.173913043478262</c:v>
                </c:pt>
                <c:pt idx="20">
                  <c:v>19.173913043478262</c:v>
                </c:pt>
                <c:pt idx="21">
                  <c:v>19.173913043478262</c:v>
                </c:pt>
                <c:pt idx="22">
                  <c:v>19.173913043478262</c:v>
                </c:pt>
                <c:pt idx="23">
                  <c:v>19.173913043478262</c:v>
                </c:pt>
                <c:pt idx="24">
                  <c:v>19.173913043478262</c:v>
                </c:pt>
                <c:pt idx="25">
                  <c:v>19.173913043478262</c:v>
                </c:pt>
                <c:pt idx="26">
                  <c:v>19.173913043478262</c:v>
                </c:pt>
                <c:pt idx="27">
                  <c:v>19.173913043478262</c:v>
                </c:pt>
                <c:pt idx="28">
                  <c:v>19.173913043478262</c:v>
                </c:pt>
                <c:pt idx="29">
                  <c:v>19.173913043478262</c:v>
                </c:pt>
                <c:pt idx="30">
                  <c:v>19.173913043478262</c:v>
                </c:pt>
                <c:pt idx="31">
                  <c:v>19.173913043478262</c:v>
                </c:pt>
                <c:pt idx="32">
                  <c:v>19.173913043478262</c:v>
                </c:pt>
                <c:pt idx="33">
                  <c:v>19.173913043478262</c:v>
                </c:pt>
                <c:pt idx="34">
                  <c:v>19.173913043478262</c:v>
                </c:pt>
                <c:pt idx="35">
                  <c:v>19.173913043478262</c:v>
                </c:pt>
                <c:pt idx="36">
                  <c:v>19.173913043478262</c:v>
                </c:pt>
                <c:pt idx="37">
                  <c:v>19.173913043478262</c:v>
                </c:pt>
                <c:pt idx="38">
                  <c:v>19.173913043478262</c:v>
                </c:pt>
                <c:pt idx="39">
                  <c:v>19.173913043478262</c:v>
                </c:pt>
                <c:pt idx="40">
                  <c:v>19.173913043478262</c:v>
                </c:pt>
                <c:pt idx="41">
                  <c:v>19.173913043478262</c:v>
                </c:pt>
                <c:pt idx="42">
                  <c:v>19.173913043478262</c:v>
                </c:pt>
                <c:pt idx="43">
                  <c:v>19.173913043478262</c:v>
                </c:pt>
                <c:pt idx="44">
                  <c:v>19.173913043478262</c:v>
                </c:pt>
                <c:pt idx="45">
                  <c:v>19.173913043478262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1F-433E-9DF6-283B0670D2A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Sheet1!$A$2:$A$47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cat>
          <c:val>
            <c:numRef>
              <c:f>Sheet1!$D$2:$D$47</c:f>
              <c:numCache>
                <c:formatCode>0.000</c:formatCode>
                <c:ptCount val="46"/>
                <c:pt idx="0">
                  <c:v>32.310321129073969</c:v>
                </c:pt>
                <c:pt idx="1">
                  <c:v>32.310321129073969</c:v>
                </c:pt>
                <c:pt idx="2">
                  <c:v>32.310321129073969</c:v>
                </c:pt>
                <c:pt idx="3">
                  <c:v>32.310321129073969</c:v>
                </c:pt>
                <c:pt idx="4">
                  <c:v>32.310321129073969</c:v>
                </c:pt>
                <c:pt idx="5">
                  <c:v>32.310321129073969</c:v>
                </c:pt>
                <c:pt idx="6">
                  <c:v>32.310321129073969</c:v>
                </c:pt>
                <c:pt idx="7">
                  <c:v>32.310321129073969</c:v>
                </c:pt>
                <c:pt idx="8">
                  <c:v>32.310321129073969</c:v>
                </c:pt>
                <c:pt idx="9">
                  <c:v>32.310321129073969</c:v>
                </c:pt>
                <c:pt idx="10">
                  <c:v>32.310321129073969</c:v>
                </c:pt>
                <c:pt idx="11">
                  <c:v>32.310321129073969</c:v>
                </c:pt>
                <c:pt idx="12">
                  <c:v>32.310321129073969</c:v>
                </c:pt>
                <c:pt idx="13">
                  <c:v>32.310321129073969</c:v>
                </c:pt>
                <c:pt idx="14">
                  <c:v>32.310321129073969</c:v>
                </c:pt>
                <c:pt idx="15">
                  <c:v>32.310321129073969</c:v>
                </c:pt>
                <c:pt idx="16">
                  <c:v>32.310321129073969</c:v>
                </c:pt>
                <c:pt idx="17">
                  <c:v>32.310321129073969</c:v>
                </c:pt>
                <c:pt idx="18">
                  <c:v>32.310321129073969</c:v>
                </c:pt>
                <c:pt idx="19">
                  <c:v>32.310321129073969</c:v>
                </c:pt>
                <c:pt idx="20">
                  <c:v>32.310321129073969</c:v>
                </c:pt>
                <c:pt idx="21">
                  <c:v>32.310321129073969</c:v>
                </c:pt>
                <c:pt idx="22">
                  <c:v>32.310321129073969</c:v>
                </c:pt>
                <c:pt idx="23">
                  <c:v>32.310321129073969</c:v>
                </c:pt>
                <c:pt idx="24">
                  <c:v>32.310321129073969</c:v>
                </c:pt>
                <c:pt idx="25">
                  <c:v>32.310321129073969</c:v>
                </c:pt>
                <c:pt idx="26">
                  <c:v>32.310321129073969</c:v>
                </c:pt>
                <c:pt idx="27">
                  <c:v>32.310321129073969</c:v>
                </c:pt>
                <c:pt idx="28">
                  <c:v>32.310321129073969</c:v>
                </c:pt>
                <c:pt idx="29">
                  <c:v>32.310321129073969</c:v>
                </c:pt>
                <c:pt idx="30">
                  <c:v>32.310321129073969</c:v>
                </c:pt>
                <c:pt idx="31">
                  <c:v>32.310321129073969</c:v>
                </c:pt>
                <c:pt idx="32">
                  <c:v>32.310321129073969</c:v>
                </c:pt>
                <c:pt idx="33">
                  <c:v>32.310321129073969</c:v>
                </c:pt>
                <c:pt idx="34">
                  <c:v>32.310321129073969</c:v>
                </c:pt>
                <c:pt idx="35">
                  <c:v>32.310321129073969</c:v>
                </c:pt>
                <c:pt idx="36">
                  <c:v>32.310321129073969</c:v>
                </c:pt>
                <c:pt idx="37">
                  <c:v>32.310321129073969</c:v>
                </c:pt>
                <c:pt idx="38">
                  <c:v>32.310321129073969</c:v>
                </c:pt>
                <c:pt idx="39">
                  <c:v>32.310321129073969</c:v>
                </c:pt>
                <c:pt idx="40">
                  <c:v>32.310321129073969</c:v>
                </c:pt>
                <c:pt idx="41">
                  <c:v>32.310321129073969</c:v>
                </c:pt>
                <c:pt idx="42">
                  <c:v>32.310321129073969</c:v>
                </c:pt>
                <c:pt idx="43">
                  <c:v>32.310321129073969</c:v>
                </c:pt>
                <c:pt idx="44">
                  <c:v>32.310321129073969</c:v>
                </c:pt>
                <c:pt idx="45">
                  <c:v>32.310321129073969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1F-433E-9DF6-283B0670D2AB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Sheet1!$A$2:$A$47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cat>
          <c:val>
            <c:numRef>
              <c:f>Sheet1!$E$2:$E$47</c:f>
              <c:numCache>
                <c:formatCode>0.000</c:formatCode>
                <c:ptCount val="46"/>
                <c:pt idx="0">
                  <c:v>6.0375049578825504</c:v>
                </c:pt>
                <c:pt idx="1">
                  <c:v>6.0375049578825504</c:v>
                </c:pt>
                <c:pt idx="2">
                  <c:v>6.0375049578825504</c:v>
                </c:pt>
                <c:pt idx="3">
                  <c:v>6.0375049578825504</c:v>
                </c:pt>
                <c:pt idx="4">
                  <c:v>6.0375049578825504</c:v>
                </c:pt>
                <c:pt idx="5">
                  <c:v>6.0375049578825504</c:v>
                </c:pt>
                <c:pt idx="6">
                  <c:v>6.0375049578825504</c:v>
                </c:pt>
                <c:pt idx="7">
                  <c:v>6.0375049578825504</c:v>
                </c:pt>
                <c:pt idx="8">
                  <c:v>6.0375049578825504</c:v>
                </c:pt>
                <c:pt idx="9">
                  <c:v>6.0375049578825504</c:v>
                </c:pt>
                <c:pt idx="10">
                  <c:v>6.0375049578825504</c:v>
                </c:pt>
                <c:pt idx="11">
                  <c:v>6.0375049578825504</c:v>
                </c:pt>
                <c:pt idx="12">
                  <c:v>6.0375049578825504</c:v>
                </c:pt>
                <c:pt idx="13">
                  <c:v>6.0375049578825504</c:v>
                </c:pt>
                <c:pt idx="14">
                  <c:v>6.0375049578825504</c:v>
                </c:pt>
                <c:pt idx="15">
                  <c:v>6.0375049578825504</c:v>
                </c:pt>
                <c:pt idx="16">
                  <c:v>6.0375049578825504</c:v>
                </c:pt>
                <c:pt idx="17">
                  <c:v>6.0375049578825504</c:v>
                </c:pt>
                <c:pt idx="18">
                  <c:v>6.0375049578825504</c:v>
                </c:pt>
                <c:pt idx="19">
                  <c:v>6.0375049578825504</c:v>
                </c:pt>
                <c:pt idx="20">
                  <c:v>6.0375049578825504</c:v>
                </c:pt>
                <c:pt idx="21">
                  <c:v>6.0375049578825504</c:v>
                </c:pt>
                <c:pt idx="22">
                  <c:v>6.0375049578825504</c:v>
                </c:pt>
                <c:pt idx="23">
                  <c:v>6.0375049578825504</c:v>
                </c:pt>
                <c:pt idx="24">
                  <c:v>6.0375049578825504</c:v>
                </c:pt>
                <c:pt idx="25">
                  <c:v>6.0375049578825504</c:v>
                </c:pt>
                <c:pt idx="26">
                  <c:v>6.0375049578825504</c:v>
                </c:pt>
                <c:pt idx="27">
                  <c:v>6.0375049578825504</c:v>
                </c:pt>
                <c:pt idx="28">
                  <c:v>6.0375049578825504</c:v>
                </c:pt>
                <c:pt idx="29">
                  <c:v>6.0375049578825504</c:v>
                </c:pt>
                <c:pt idx="30">
                  <c:v>6.0375049578825504</c:v>
                </c:pt>
                <c:pt idx="31">
                  <c:v>6.0375049578825504</c:v>
                </c:pt>
                <c:pt idx="32">
                  <c:v>6.0375049578825504</c:v>
                </c:pt>
                <c:pt idx="33">
                  <c:v>6.0375049578825504</c:v>
                </c:pt>
                <c:pt idx="34">
                  <c:v>6.0375049578825504</c:v>
                </c:pt>
                <c:pt idx="35">
                  <c:v>6.0375049578825504</c:v>
                </c:pt>
                <c:pt idx="36">
                  <c:v>6.0375049578825504</c:v>
                </c:pt>
                <c:pt idx="37">
                  <c:v>6.0375049578825504</c:v>
                </c:pt>
                <c:pt idx="38">
                  <c:v>6.0375049578825504</c:v>
                </c:pt>
                <c:pt idx="39">
                  <c:v>6.0375049578825504</c:v>
                </c:pt>
                <c:pt idx="40">
                  <c:v>6.0375049578825504</c:v>
                </c:pt>
                <c:pt idx="41">
                  <c:v>6.0375049578825504</c:v>
                </c:pt>
                <c:pt idx="42">
                  <c:v>6.0375049578825504</c:v>
                </c:pt>
                <c:pt idx="43">
                  <c:v>6.0375049578825504</c:v>
                </c:pt>
                <c:pt idx="44">
                  <c:v>6.0375049578825504</c:v>
                </c:pt>
                <c:pt idx="45">
                  <c:v>6.0375049578825504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1F-433E-9DF6-283B0670D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090704"/>
        <c:axId val="1569608688"/>
      </c:lineChart>
      <c:catAx>
        <c:axId val="162809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69608688"/>
        <c:crosses val="autoZero"/>
        <c:auto val="1"/>
        <c:lblAlgn val="ctr"/>
        <c:lblOffset val="100"/>
        <c:noMultiLvlLbl val="0"/>
      </c:catAx>
      <c:valAx>
        <c:axId val="156960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2809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34924</xdr:colOff>
      <xdr:row>48</xdr:row>
      <xdr:rowOff>28574</xdr:rowOff>
    </xdr:from>
    <xdr:to>
      <xdr:col>6</xdr:col>
      <xdr:colOff>57149</xdr:colOff>
      <xdr:row>64</xdr:row>
      <xdr:rowOff>25399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49061C-8893-BAA1-0FB6-2C54E1864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6348-5435-4051-AB32-E6075591882E}">
  <dimension ref="A1:E47"/>
  <sheetViews>
    <sheetView tabSelected="1" workbookViewId="0">
      <selection activeCell="J55" sqref="J55"/>
    </sheetView>
  </sheetViews>
  <sheetFormatPr defaultRowHeight="15.5" x14ac:dyDescent="0.35"/>
  <cols>
    <col min="1" max="1" width="15.90625" style="3" bestFit="1" customWidth="1"/>
    <col min="2" max="2" width="16.81640625" style="3" customWidth="1"/>
    <col min="3" max="16384" width="8.7265625" style="3"/>
  </cols>
  <sheetData>
    <row r="1" spans="1:5" ht="30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4" cm="1">
        <f t="array" ref="A2:A47">_xlfn.SEQUENCE(46)</f>
        <v>1</v>
      </c>
      <c r="B2" s="4">
        <v>21</v>
      </c>
      <c r="C2" s="5">
        <f>AVERAGE($B$2:$B$47)</f>
        <v>19.173913043478262</v>
      </c>
      <c r="D2" s="5">
        <f>$C$2+3*SQRT($C$2)</f>
        <v>32.310321129073969</v>
      </c>
      <c r="E2" s="5">
        <f>$C$2-3*SQRT($C$2)</f>
        <v>6.0375049578825504</v>
      </c>
    </row>
    <row r="3" spans="1:5" x14ac:dyDescent="0.35">
      <c r="A3" s="4">
        <v>2</v>
      </c>
      <c r="B3" s="4">
        <v>24</v>
      </c>
      <c r="C3" s="5">
        <f t="shared" ref="C3:C47" si="0">AVERAGE($B$2:$B$47)</f>
        <v>19.173913043478262</v>
      </c>
      <c r="D3" s="5">
        <f t="shared" ref="D3:D47" si="1">$C$2+3*SQRT($C$2)</f>
        <v>32.310321129073969</v>
      </c>
      <c r="E3" s="5">
        <f t="shared" ref="E3:E47" si="2">$C$2-3*SQRT($C$2)</f>
        <v>6.0375049578825504</v>
      </c>
    </row>
    <row r="4" spans="1:5" x14ac:dyDescent="0.35">
      <c r="A4" s="4">
        <v>3</v>
      </c>
      <c r="B4" s="4">
        <v>16</v>
      </c>
      <c r="C4" s="5">
        <f t="shared" si="0"/>
        <v>19.173913043478262</v>
      </c>
      <c r="D4" s="5">
        <f t="shared" si="1"/>
        <v>32.310321129073969</v>
      </c>
      <c r="E4" s="5">
        <f t="shared" si="2"/>
        <v>6.0375049578825504</v>
      </c>
    </row>
    <row r="5" spans="1:5" x14ac:dyDescent="0.35">
      <c r="A5" s="4">
        <v>4</v>
      </c>
      <c r="B5" s="4">
        <v>12</v>
      </c>
      <c r="C5" s="5">
        <f>AVERAGE($B$2:$B$47)</f>
        <v>19.173913043478262</v>
      </c>
      <c r="D5" s="5">
        <f t="shared" si="1"/>
        <v>32.310321129073969</v>
      </c>
      <c r="E5" s="5">
        <f t="shared" si="2"/>
        <v>6.0375049578825504</v>
      </c>
    </row>
    <row r="6" spans="1:5" x14ac:dyDescent="0.35">
      <c r="A6" s="4">
        <v>5</v>
      </c>
      <c r="B6" s="4">
        <v>15</v>
      </c>
      <c r="C6" s="5">
        <f t="shared" si="0"/>
        <v>19.173913043478262</v>
      </c>
      <c r="D6" s="5">
        <f t="shared" si="1"/>
        <v>32.310321129073969</v>
      </c>
      <c r="E6" s="5">
        <f t="shared" si="2"/>
        <v>6.0375049578825504</v>
      </c>
    </row>
    <row r="7" spans="1:5" x14ac:dyDescent="0.35">
      <c r="A7" s="4">
        <v>6</v>
      </c>
      <c r="B7" s="4">
        <v>5</v>
      </c>
      <c r="C7" s="5">
        <f t="shared" si="0"/>
        <v>19.173913043478262</v>
      </c>
      <c r="D7" s="5">
        <f t="shared" si="1"/>
        <v>32.310321129073969</v>
      </c>
      <c r="E7" s="5">
        <f t="shared" si="2"/>
        <v>6.0375049578825504</v>
      </c>
    </row>
    <row r="8" spans="1:5" x14ac:dyDescent="0.35">
      <c r="A8" s="4">
        <v>7</v>
      </c>
      <c r="B8" s="4">
        <v>28</v>
      </c>
      <c r="C8" s="5">
        <f t="shared" si="0"/>
        <v>19.173913043478262</v>
      </c>
      <c r="D8" s="5">
        <f t="shared" si="1"/>
        <v>32.310321129073969</v>
      </c>
      <c r="E8" s="5">
        <f t="shared" si="2"/>
        <v>6.0375049578825504</v>
      </c>
    </row>
    <row r="9" spans="1:5" x14ac:dyDescent="0.35">
      <c r="A9" s="4">
        <v>8</v>
      </c>
      <c r="B9" s="4">
        <v>20</v>
      </c>
      <c r="C9" s="5">
        <f t="shared" si="0"/>
        <v>19.173913043478262</v>
      </c>
      <c r="D9" s="5">
        <f t="shared" si="1"/>
        <v>32.310321129073969</v>
      </c>
      <c r="E9" s="5">
        <f t="shared" si="2"/>
        <v>6.0375049578825504</v>
      </c>
    </row>
    <row r="10" spans="1:5" x14ac:dyDescent="0.35">
      <c r="A10" s="4">
        <v>9</v>
      </c>
      <c r="B10" s="4">
        <v>31</v>
      </c>
      <c r="C10" s="5">
        <f t="shared" si="0"/>
        <v>19.173913043478262</v>
      </c>
      <c r="D10" s="5">
        <f t="shared" si="1"/>
        <v>32.310321129073969</v>
      </c>
      <c r="E10" s="5">
        <f t="shared" si="2"/>
        <v>6.0375049578825504</v>
      </c>
    </row>
    <row r="11" spans="1:5" x14ac:dyDescent="0.35">
      <c r="A11" s="4">
        <v>10</v>
      </c>
      <c r="B11" s="4">
        <v>25</v>
      </c>
      <c r="C11" s="5">
        <f t="shared" si="0"/>
        <v>19.173913043478262</v>
      </c>
      <c r="D11" s="5">
        <f t="shared" si="1"/>
        <v>32.310321129073969</v>
      </c>
      <c r="E11" s="5">
        <f t="shared" si="2"/>
        <v>6.0375049578825504</v>
      </c>
    </row>
    <row r="12" spans="1:5" x14ac:dyDescent="0.35">
      <c r="A12" s="4">
        <v>11</v>
      </c>
      <c r="B12" s="4">
        <v>20</v>
      </c>
      <c r="C12" s="5">
        <f t="shared" si="0"/>
        <v>19.173913043478262</v>
      </c>
      <c r="D12" s="5">
        <f t="shared" si="1"/>
        <v>32.310321129073969</v>
      </c>
      <c r="E12" s="5">
        <f t="shared" si="2"/>
        <v>6.0375049578825504</v>
      </c>
    </row>
    <row r="13" spans="1:5" x14ac:dyDescent="0.35">
      <c r="A13" s="4">
        <v>12</v>
      </c>
      <c r="B13" s="4">
        <v>24</v>
      </c>
      <c r="C13" s="5">
        <f t="shared" si="0"/>
        <v>19.173913043478262</v>
      </c>
      <c r="D13" s="5">
        <f t="shared" si="1"/>
        <v>32.310321129073969</v>
      </c>
      <c r="E13" s="5">
        <f t="shared" si="2"/>
        <v>6.0375049578825504</v>
      </c>
    </row>
    <row r="14" spans="1:5" x14ac:dyDescent="0.35">
      <c r="A14" s="4">
        <v>13</v>
      </c>
      <c r="B14" s="4">
        <v>16</v>
      </c>
      <c r="C14" s="5">
        <f t="shared" si="0"/>
        <v>19.173913043478262</v>
      </c>
      <c r="D14" s="5">
        <f t="shared" si="1"/>
        <v>32.310321129073969</v>
      </c>
      <c r="E14" s="5">
        <f t="shared" si="2"/>
        <v>6.0375049578825504</v>
      </c>
    </row>
    <row r="15" spans="1:5" x14ac:dyDescent="0.35">
      <c r="A15" s="4">
        <v>14</v>
      </c>
      <c r="B15" s="4">
        <v>19</v>
      </c>
      <c r="C15" s="5">
        <f t="shared" si="0"/>
        <v>19.173913043478262</v>
      </c>
      <c r="D15" s="5">
        <f t="shared" si="1"/>
        <v>32.310321129073969</v>
      </c>
      <c r="E15" s="5">
        <f t="shared" si="2"/>
        <v>6.0375049578825504</v>
      </c>
    </row>
    <row r="16" spans="1:5" x14ac:dyDescent="0.35">
      <c r="A16" s="4">
        <v>15</v>
      </c>
      <c r="B16" s="4">
        <v>10</v>
      </c>
      <c r="C16" s="5">
        <f t="shared" si="0"/>
        <v>19.173913043478262</v>
      </c>
      <c r="D16" s="5">
        <f t="shared" si="1"/>
        <v>32.310321129073969</v>
      </c>
      <c r="E16" s="5">
        <f t="shared" si="2"/>
        <v>6.0375049578825504</v>
      </c>
    </row>
    <row r="17" spans="1:5" x14ac:dyDescent="0.35">
      <c r="A17" s="4">
        <v>16</v>
      </c>
      <c r="B17" s="4">
        <v>17</v>
      </c>
      <c r="C17" s="5">
        <f t="shared" si="0"/>
        <v>19.173913043478262</v>
      </c>
      <c r="D17" s="5">
        <f t="shared" si="1"/>
        <v>32.310321129073969</v>
      </c>
      <c r="E17" s="5">
        <f t="shared" si="2"/>
        <v>6.0375049578825504</v>
      </c>
    </row>
    <row r="18" spans="1:5" x14ac:dyDescent="0.35">
      <c r="A18" s="4">
        <v>17</v>
      </c>
      <c r="B18" s="4">
        <v>13</v>
      </c>
      <c r="C18" s="5">
        <f t="shared" si="0"/>
        <v>19.173913043478262</v>
      </c>
      <c r="D18" s="5">
        <f t="shared" si="1"/>
        <v>32.310321129073969</v>
      </c>
      <c r="E18" s="5">
        <f t="shared" si="2"/>
        <v>6.0375049578825504</v>
      </c>
    </row>
    <row r="19" spans="1:5" x14ac:dyDescent="0.35">
      <c r="A19" s="4">
        <v>18</v>
      </c>
      <c r="B19" s="4">
        <v>22</v>
      </c>
      <c r="C19" s="5">
        <f t="shared" si="0"/>
        <v>19.173913043478262</v>
      </c>
      <c r="D19" s="5">
        <f t="shared" si="1"/>
        <v>32.310321129073969</v>
      </c>
      <c r="E19" s="5">
        <f t="shared" si="2"/>
        <v>6.0375049578825504</v>
      </c>
    </row>
    <row r="20" spans="1:5" x14ac:dyDescent="0.35">
      <c r="A20" s="4">
        <v>19</v>
      </c>
      <c r="B20" s="4">
        <v>18</v>
      </c>
      <c r="C20" s="5">
        <f t="shared" si="0"/>
        <v>19.173913043478262</v>
      </c>
      <c r="D20" s="5">
        <f t="shared" si="1"/>
        <v>32.310321129073969</v>
      </c>
      <c r="E20" s="5">
        <f t="shared" si="2"/>
        <v>6.0375049578825504</v>
      </c>
    </row>
    <row r="21" spans="1:5" x14ac:dyDescent="0.35">
      <c r="A21" s="4">
        <v>20</v>
      </c>
      <c r="B21" s="4">
        <v>39</v>
      </c>
      <c r="C21" s="5">
        <f t="shared" si="0"/>
        <v>19.173913043478262</v>
      </c>
      <c r="D21" s="5">
        <f t="shared" si="1"/>
        <v>32.310321129073969</v>
      </c>
      <c r="E21" s="5">
        <f t="shared" si="2"/>
        <v>6.0375049578825504</v>
      </c>
    </row>
    <row r="22" spans="1:5" x14ac:dyDescent="0.35">
      <c r="A22" s="4">
        <v>21</v>
      </c>
      <c r="B22" s="4">
        <v>30</v>
      </c>
      <c r="C22" s="5">
        <f t="shared" si="0"/>
        <v>19.173913043478262</v>
      </c>
      <c r="D22" s="5">
        <f t="shared" si="1"/>
        <v>32.310321129073969</v>
      </c>
      <c r="E22" s="5">
        <f t="shared" si="2"/>
        <v>6.0375049578825504</v>
      </c>
    </row>
    <row r="23" spans="1:5" x14ac:dyDescent="0.35">
      <c r="A23" s="4">
        <v>22</v>
      </c>
      <c r="B23" s="4">
        <v>24</v>
      </c>
      <c r="C23" s="5">
        <f t="shared" si="0"/>
        <v>19.173913043478262</v>
      </c>
      <c r="D23" s="5">
        <f t="shared" si="1"/>
        <v>32.310321129073969</v>
      </c>
      <c r="E23" s="5">
        <f t="shared" si="2"/>
        <v>6.0375049578825504</v>
      </c>
    </row>
    <row r="24" spans="1:5" x14ac:dyDescent="0.35">
      <c r="A24" s="4">
        <v>23</v>
      </c>
      <c r="B24" s="4">
        <v>16</v>
      </c>
      <c r="C24" s="5">
        <f t="shared" si="0"/>
        <v>19.173913043478262</v>
      </c>
      <c r="D24" s="5">
        <f t="shared" si="1"/>
        <v>32.310321129073969</v>
      </c>
      <c r="E24" s="5">
        <f t="shared" si="2"/>
        <v>6.0375049578825504</v>
      </c>
    </row>
    <row r="25" spans="1:5" x14ac:dyDescent="0.35">
      <c r="A25" s="4">
        <v>24</v>
      </c>
      <c r="B25" s="4">
        <v>19</v>
      </c>
      <c r="C25" s="5">
        <f t="shared" si="0"/>
        <v>19.173913043478262</v>
      </c>
      <c r="D25" s="5">
        <f t="shared" si="1"/>
        <v>32.310321129073969</v>
      </c>
      <c r="E25" s="5">
        <f t="shared" si="2"/>
        <v>6.0375049578825504</v>
      </c>
    </row>
    <row r="26" spans="1:5" x14ac:dyDescent="0.35">
      <c r="A26" s="4">
        <v>25</v>
      </c>
      <c r="B26" s="4">
        <v>17</v>
      </c>
      <c r="C26" s="5">
        <f t="shared" si="0"/>
        <v>19.173913043478262</v>
      </c>
      <c r="D26" s="5">
        <f t="shared" si="1"/>
        <v>32.310321129073969</v>
      </c>
      <c r="E26" s="5">
        <f t="shared" si="2"/>
        <v>6.0375049578825504</v>
      </c>
    </row>
    <row r="27" spans="1:5" x14ac:dyDescent="0.35">
      <c r="A27" s="4">
        <v>26</v>
      </c>
      <c r="B27" s="4">
        <v>15</v>
      </c>
      <c r="C27" s="5">
        <f t="shared" si="0"/>
        <v>19.173913043478262</v>
      </c>
      <c r="D27" s="5">
        <f t="shared" si="1"/>
        <v>32.310321129073969</v>
      </c>
      <c r="E27" s="5">
        <f t="shared" si="2"/>
        <v>6.0375049578825504</v>
      </c>
    </row>
    <row r="28" spans="1:5" x14ac:dyDescent="0.35">
      <c r="A28" s="4">
        <v>27</v>
      </c>
      <c r="B28" s="4">
        <v>16</v>
      </c>
      <c r="C28" s="5">
        <f t="shared" si="0"/>
        <v>19.173913043478262</v>
      </c>
      <c r="D28" s="5">
        <f t="shared" si="1"/>
        <v>32.310321129073969</v>
      </c>
      <c r="E28" s="5">
        <f t="shared" si="2"/>
        <v>6.0375049578825504</v>
      </c>
    </row>
    <row r="29" spans="1:5" x14ac:dyDescent="0.35">
      <c r="A29" s="4">
        <v>28</v>
      </c>
      <c r="B29" s="4">
        <v>18</v>
      </c>
      <c r="C29" s="5">
        <f t="shared" si="0"/>
        <v>19.173913043478262</v>
      </c>
      <c r="D29" s="5">
        <f t="shared" si="1"/>
        <v>32.310321129073969</v>
      </c>
      <c r="E29" s="5">
        <f t="shared" si="2"/>
        <v>6.0375049578825504</v>
      </c>
    </row>
    <row r="30" spans="1:5" x14ac:dyDescent="0.35">
      <c r="A30" s="4">
        <v>29</v>
      </c>
      <c r="B30" s="4">
        <v>12</v>
      </c>
      <c r="C30" s="5">
        <f t="shared" si="0"/>
        <v>19.173913043478262</v>
      </c>
      <c r="D30" s="5">
        <f t="shared" si="1"/>
        <v>32.310321129073969</v>
      </c>
      <c r="E30" s="5">
        <f t="shared" si="2"/>
        <v>6.0375049578825504</v>
      </c>
    </row>
    <row r="31" spans="1:5" x14ac:dyDescent="0.35">
      <c r="A31" s="4">
        <v>30</v>
      </c>
      <c r="B31" s="4">
        <v>15</v>
      </c>
      <c r="C31" s="5">
        <f t="shared" si="0"/>
        <v>19.173913043478262</v>
      </c>
      <c r="D31" s="5">
        <f t="shared" si="1"/>
        <v>32.310321129073969</v>
      </c>
      <c r="E31" s="5">
        <f t="shared" si="2"/>
        <v>6.0375049578825504</v>
      </c>
    </row>
    <row r="32" spans="1:5" x14ac:dyDescent="0.35">
      <c r="A32" s="4">
        <v>31</v>
      </c>
      <c r="B32" s="4">
        <v>24</v>
      </c>
      <c r="C32" s="5">
        <f t="shared" si="0"/>
        <v>19.173913043478262</v>
      </c>
      <c r="D32" s="5">
        <f t="shared" si="1"/>
        <v>32.310321129073969</v>
      </c>
      <c r="E32" s="5">
        <f t="shared" si="2"/>
        <v>6.0375049578825504</v>
      </c>
    </row>
    <row r="33" spans="1:5" x14ac:dyDescent="0.35">
      <c r="A33" s="4">
        <v>32</v>
      </c>
      <c r="B33" s="4">
        <v>21</v>
      </c>
      <c r="C33" s="5">
        <f t="shared" si="0"/>
        <v>19.173913043478262</v>
      </c>
      <c r="D33" s="5">
        <f t="shared" si="1"/>
        <v>32.310321129073969</v>
      </c>
      <c r="E33" s="5">
        <f t="shared" si="2"/>
        <v>6.0375049578825504</v>
      </c>
    </row>
    <row r="34" spans="1:5" x14ac:dyDescent="0.35">
      <c r="A34" s="4">
        <v>33</v>
      </c>
      <c r="B34" s="4">
        <v>28</v>
      </c>
      <c r="C34" s="5">
        <f t="shared" si="0"/>
        <v>19.173913043478262</v>
      </c>
      <c r="D34" s="5">
        <f t="shared" si="1"/>
        <v>32.310321129073969</v>
      </c>
      <c r="E34" s="5">
        <f t="shared" si="2"/>
        <v>6.0375049578825504</v>
      </c>
    </row>
    <row r="35" spans="1:5" x14ac:dyDescent="0.35">
      <c r="A35" s="4">
        <v>34</v>
      </c>
      <c r="B35" s="4">
        <v>20</v>
      </c>
      <c r="C35" s="5">
        <f t="shared" si="0"/>
        <v>19.173913043478262</v>
      </c>
      <c r="D35" s="5">
        <f t="shared" si="1"/>
        <v>32.310321129073969</v>
      </c>
      <c r="E35" s="5">
        <f t="shared" si="2"/>
        <v>6.0375049578825504</v>
      </c>
    </row>
    <row r="36" spans="1:5" x14ac:dyDescent="0.35">
      <c r="A36" s="4">
        <v>35</v>
      </c>
      <c r="B36" s="4">
        <v>25</v>
      </c>
      <c r="C36" s="5">
        <f t="shared" si="0"/>
        <v>19.173913043478262</v>
      </c>
      <c r="D36" s="5">
        <f t="shared" si="1"/>
        <v>32.310321129073969</v>
      </c>
      <c r="E36" s="5">
        <f t="shared" si="2"/>
        <v>6.0375049578825504</v>
      </c>
    </row>
    <row r="37" spans="1:5" x14ac:dyDescent="0.35">
      <c r="A37" s="4">
        <v>36</v>
      </c>
      <c r="B37" s="4">
        <v>19</v>
      </c>
      <c r="C37" s="5">
        <f t="shared" si="0"/>
        <v>19.173913043478262</v>
      </c>
      <c r="D37" s="5">
        <f t="shared" si="1"/>
        <v>32.310321129073969</v>
      </c>
      <c r="E37" s="5">
        <f t="shared" si="2"/>
        <v>6.0375049578825504</v>
      </c>
    </row>
    <row r="38" spans="1:5" x14ac:dyDescent="0.35">
      <c r="A38" s="4">
        <v>37</v>
      </c>
      <c r="B38" s="4">
        <v>18</v>
      </c>
      <c r="C38" s="5">
        <f t="shared" si="0"/>
        <v>19.173913043478262</v>
      </c>
      <c r="D38" s="5">
        <f t="shared" si="1"/>
        <v>32.310321129073969</v>
      </c>
      <c r="E38" s="5">
        <f t="shared" si="2"/>
        <v>6.0375049578825504</v>
      </c>
    </row>
    <row r="39" spans="1:5" x14ac:dyDescent="0.35">
      <c r="A39" s="4">
        <v>38</v>
      </c>
      <c r="B39" s="4">
        <v>21</v>
      </c>
      <c r="C39" s="5">
        <f t="shared" si="0"/>
        <v>19.173913043478262</v>
      </c>
      <c r="D39" s="5">
        <f t="shared" si="1"/>
        <v>32.310321129073969</v>
      </c>
      <c r="E39" s="5">
        <f t="shared" si="2"/>
        <v>6.0375049578825504</v>
      </c>
    </row>
    <row r="40" spans="1:5" x14ac:dyDescent="0.35">
      <c r="A40" s="4">
        <v>39</v>
      </c>
      <c r="B40" s="4">
        <v>16</v>
      </c>
      <c r="C40" s="5">
        <f t="shared" si="0"/>
        <v>19.173913043478262</v>
      </c>
      <c r="D40" s="5">
        <f t="shared" si="1"/>
        <v>32.310321129073969</v>
      </c>
      <c r="E40" s="5">
        <f t="shared" si="2"/>
        <v>6.0375049578825504</v>
      </c>
    </row>
    <row r="41" spans="1:5" x14ac:dyDescent="0.35">
      <c r="A41" s="4">
        <v>40</v>
      </c>
      <c r="B41" s="4">
        <v>22</v>
      </c>
      <c r="C41" s="5">
        <f t="shared" si="0"/>
        <v>19.173913043478262</v>
      </c>
      <c r="D41" s="5">
        <f t="shared" si="1"/>
        <v>32.310321129073969</v>
      </c>
      <c r="E41" s="5">
        <f t="shared" si="2"/>
        <v>6.0375049578825504</v>
      </c>
    </row>
    <row r="42" spans="1:5" x14ac:dyDescent="0.35">
      <c r="A42" s="4">
        <v>41</v>
      </c>
      <c r="B42" s="4">
        <v>19</v>
      </c>
      <c r="C42" s="5">
        <f t="shared" si="0"/>
        <v>19.173913043478262</v>
      </c>
      <c r="D42" s="5">
        <f t="shared" si="1"/>
        <v>32.310321129073969</v>
      </c>
      <c r="E42" s="5">
        <f t="shared" si="2"/>
        <v>6.0375049578825504</v>
      </c>
    </row>
    <row r="43" spans="1:5" x14ac:dyDescent="0.35">
      <c r="A43" s="4">
        <v>42</v>
      </c>
      <c r="B43" s="4">
        <v>12</v>
      </c>
      <c r="C43" s="5">
        <f t="shared" si="0"/>
        <v>19.173913043478262</v>
      </c>
      <c r="D43" s="5">
        <f t="shared" si="1"/>
        <v>32.310321129073969</v>
      </c>
      <c r="E43" s="5">
        <f t="shared" si="2"/>
        <v>6.0375049578825504</v>
      </c>
    </row>
    <row r="44" spans="1:5" x14ac:dyDescent="0.35">
      <c r="A44" s="4">
        <v>43</v>
      </c>
      <c r="B44" s="4">
        <v>14</v>
      </c>
      <c r="C44" s="5">
        <f t="shared" si="0"/>
        <v>19.173913043478262</v>
      </c>
      <c r="D44" s="5">
        <f t="shared" si="1"/>
        <v>32.310321129073969</v>
      </c>
      <c r="E44" s="5">
        <f t="shared" si="2"/>
        <v>6.0375049578825504</v>
      </c>
    </row>
    <row r="45" spans="1:5" x14ac:dyDescent="0.35">
      <c r="A45" s="4">
        <v>44</v>
      </c>
      <c r="B45" s="4">
        <v>9</v>
      </c>
      <c r="C45" s="5">
        <f t="shared" si="0"/>
        <v>19.173913043478262</v>
      </c>
      <c r="D45" s="5">
        <f t="shared" si="1"/>
        <v>32.310321129073969</v>
      </c>
      <c r="E45" s="5">
        <f t="shared" si="2"/>
        <v>6.0375049578825504</v>
      </c>
    </row>
    <row r="46" spans="1:5" x14ac:dyDescent="0.35">
      <c r="A46" s="4">
        <v>45</v>
      </c>
      <c r="B46" s="4">
        <v>16</v>
      </c>
      <c r="C46" s="5">
        <f t="shared" si="0"/>
        <v>19.173913043478262</v>
      </c>
      <c r="D46" s="5">
        <f t="shared" si="1"/>
        <v>32.310321129073969</v>
      </c>
      <c r="E46" s="5">
        <f t="shared" si="2"/>
        <v>6.0375049578825504</v>
      </c>
    </row>
    <row r="47" spans="1:5" x14ac:dyDescent="0.35">
      <c r="A47" s="4">
        <v>46</v>
      </c>
      <c r="B47" s="4">
        <v>21</v>
      </c>
      <c r="C47" s="5">
        <f t="shared" si="0"/>
        <v>19.173913043478262</v>
      </c>
      <c r="D47" s="5">
        <f t="shared" si="1"/>
        <v>32.310321129073969</v>
      </c>
      <c r="E47" s="5">
        <f t="shared" si="2"/>
        <v>6.0375049578825504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2026-07-01T05:24:29Z</dcterms:created>
  <dcterms:modified xsi:type="dcterms:W3CDTF">2026-07-01T05:42:02Z</dcterms:modified>
</cp:coreProperties>
</file>